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paullee/Documents/project/martin/DATA/docs/"/>
    </mc:Choice>
  </mc:AlternateContent>
  <xr:revisionPtr revIDLastSave="0" documentId="13_ncr:1_{FE01BD6F-2253-FE4B-9D36-B452B5CEF3FA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Option A - Managed SaaS" sheetId="1" r:id="rId1"/>
    <sheet name="Option B - Self-Managed Infra" sheetId="3" r:id="rId2"/>
    <sheet name="Sheet1" sheetId="4" r:id="rId3"/>
    <sheet name="Internal Cost &amp; Margin" sheetId="2" r:id="rId4"/>
  </sheets>
  <definedNames>
    <definedName name="_xlnm.Print_Area" localSheetId="3">'Internal Cost &amp; Margin'!$A$1:$F$47</definedName>
    <definedName name="_xlnm.Print_Area" localSheetId="0">'Option A - Managed SaaS'!$A$1:$D$47</definedName>
    <definedName name="_xlnm.Print_Area" localSheetId="1">'Option B - Self-Managed Infra'!$A$1:$D$44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4" l="1"/>
  <c r="C30" i="4"/>
  <c r="D48" i="4" s="1"/>
  <c r="D28" i="4"/>
  <c r="D26" i="4"/>
  <c r="D24" i="4"/>
  <c r="D22" i="4"/>
  <c r="C17" i="4"/>
  <c r="D16" i="4"/>
  <c r="C14" i="4"/>
  <c r="D14" i="4" s="1"/>
  <c r="D13" i="4"/>
  <c r="D12" i="4"/>
  <c r="D11" i="4"/>
  <c r="D9" i="4"/>
  <c r="D8" i="4"/>
  <c r="D7" i="4"/>
  <c r="D6" i="4"/>
  <c r="C9" i="3"/>
  <c r="C15" i="2"/>
  <c r="D30" i="4" l="1"/>
  <c r="D19" i="4" l="1"/>
  <c r="D47" i="4"/>
  <c r="C32" i="4"/>
  <c r="C30" i="3"/>
  <c r="D28" i="3"/>
  <c r="D26" i="3"/>
  <c r="D24" i="3"/>
  <c r="D22" i="3"/>
  <c r="C17" i="3"/>
  <c r="D17" i="3" s="1"/>
  <c r="D16" i="3"/>
  <c r="C14" i="3"/>
  <c r="D14" i="3" s="1"/>
  <c r="D13" i="3"/>
  <c r="D12" i="3"/>
  <c r="D11" i="3"/>
  <c r="D9" i="3"/>
  <c r="D8" i="3"/>
  <c r="D7" i="3"/>
  <c r="D6" i="3"/>
  <c r="D32" i="2"/>
  <c r="D26" i="2"/>
  <c r="F23" i="2"/>
  <c r="E23" i="2"/>
  <c r="D23" i="2"/>
  <c r="C23" i="2"/>
  <c r="F22" i="2"/>
  <c r="E22" i="2"/>
  <c r="D20" i="2"/>
  <c r="C20" i="2"/>
  <c r="F19" i="2"/>
  <c r="E19" i="2"/>
  <c r="E18" i="2"/>
  <c r="F18" i="2" s="1"/>
  <c r="F17" i="2"/>
  <c r="E17" i="2"/>
  <c r="D15" i="2"/>
  <c r="E14" i="2"/>
  <c r="F14" i="2" s="1"/>
  <c r="E13" i="2"/>
  <c r="F13" i="2" s="1"/>
  <c r="F12" i="2"/>
  <c r="E12" i="2"/>
  <c r="E11" i="2"/>
  <c r="F11" i="2" s="1"/>
  <c r="D9" i="2"/>
  <c r="C9" i="2"/>
  <c r="E8" i="2"/>
  <c r="F8" i="2" s="1"/>
  <c r="F7" i="2"/>
  <c r="E7" i="2"/>
  <c r="F6" i="2"/>
  <c r="E6" i="2"/>
  <c r="C28" i="1"/>
  <c r="D28" i="1" s="1"/>
  <c r="C26" i="1"/>
  <c r="D26" i="1" s="1"/>
  <c r="D25" i="1"/>
  <c r="D23" i="1"/>
  <c r="C23" i="1"/>
  <c r="D22" i="1"/>
  <c r="D21" i="1"/>
  <c r="D20" i="1"/>
  <c r="D18" i="1"/>
  <c r="C18" i="1"/>
  <c r="D15" i="1"/>
  <c r="D13" i="1"/>
  <c r="D11" i="1"/>
  <c r="D9" i="1"/>
  <c r="C9" i="1"/>
  <c r="D8" i="1"/>
  <c r="D7" i="1"/>
  <c r="D6" i="1"/>
  <c r="D50" i="4" l="1"/>
  <c r="D49" i="4"/>
  <c r="D32" i="4"/>
  <c r="E9" i="2"/>
  <c r="F9" i="2" s="1"/>
  <c r="D30" i="3"/>
  <c r="C19" i="3"/>
  <c r="E15" i="2"/>
  <c r="F15" i="2" s="1"/>
  <c r="E20" i="2"/>
  <c r="F20" i="2" s="1"/>
  <c r="C25" i="2"/>
  <c r="E27" i="2" l="1"/>
  <c r="E33" i="2" s="1"/>
  <c r="E34" i="2" s="1"/>
  <c r="F33" i="2"/>
  <c r="D19" i="3"/>
  <c r="C32" i="3"/>
  <c r="D32" i="3" l="1"/>
  <c r="F27" i="2"/>
</calcChain>
</file>

<file path=xl/sharedStrings.xml><?xml version="1.0" encoding="utf-8"?>
<sst xmlns="http://schemas.openxmlformats.org/spreadsheetml/2006/main" count="263" uniqueCount="195">
  <si>
    <t>AGENT ONBOARDING SYSTEM - MONTHLY SaaS SUBSCRIPTION</t>
  </si>
  <si>
    <t>All prices in MYR (Malaysian Ringgit) | Monthly Lump Sum with Usage Quotas</t>
  </si>
  <si>
    <t>#</t>
  </si>
  <si>
    <t>Description</t>
  </si>
  <si>
    <t>Monthly (RM)</t>
  </si>
  <si>
    <t>Annual (RM)</t>
  </si>
  <si>
    <t>A. SaaS PLATFORM</t>
  </si>
  <si>
    <t>Admin Portal - Event management, agent/unit management, tier &amp; rewards config, reports</t>
  </si>
  <si>
    <t>Agent Portal - Campaign browsing, link generation &amp; sharing, partner management, rewards</t>
  </si>
  <si>
    <t>Public Pages - Registration, QR check-in display, OTP checkout, feedback</t>
  </si>
  <si>
    <t>Subtotal - SaaS Platform</t>
  </si>
  <si>
    <t>B. CLOUD INFRASTRUCTURE &amp; SERVICES (BUNDLED WITH QUOTA)</t>
  </si>
  <si>
    <t>Cloud Hosting - 3 production apps, CI/CD auto-deployment, SSL</t>
  </si>
  <si>
    <t xml:space="preserve">     Quota: 3 apps, 100GB bandwidth/mo</t>
  </si>
  <si>
    <t>Database &amp; Backend - PostgreSQL, Auth, Edge Functions, automated backups</t>
  </si>
  <si>
    <t xml:space="preserve">     Quota: 8GB database, 500MB storage</t>
  </si>
  <si>
    <t>Email Service - Event reminders, notifications, transactional emails (Resend)</t>
  </si>
  <si>
    <t xml:space="preserve">     Quota: 5,000 emails/mo</t>
  </si>
  <si>
    <t>Domain &amp; SSL Management (Per Year)</t>
  </si>
  <si>
    <t>Subtotal - Cloud Infrastructure &amp; Services</t>
  </si>
  <si>
    <t>C. SUPPORT &amp; SLA</t>
  </si>
  <si>
    <t>SLA Support - 99.5% uptime guarantee, P1-P4 incident response</t>
  </si>
  <si>
    <t>Bug Fixes, System Monitoring &amp; Maintenance</t>
  </si>
  <si>
    <t>Minor Adjustments &amp; Updates (up to 2 hours/month)</t>
  </si>
  <si>
    <t>Subtotal - Support &amp; SLA</t>
  </si>
  <si>
    <t>D. TRAINING &amp; ENABLEMENT</t>
  </si>
  <si>
    <t>New Agent/Unit Onboarding Sessions (1 session/month, up to 20 pax)</t>
  </si>
  <si>
    <t>Subtotal - Training &amp; Enablement</t>
  </si>
  <si>
    <t>TOTAL MONTHLY LUMP SUM</t>
  </si>
  <si>
    <t>INCLUDED MONTHLY QUOTAS</t>
  </si>
  <si>
    <t>Cloud Hosting</t>
  </si>
  <si>
    <t>3 production apps, 100GB bandwidth/mo, CI/CD auto-deploy</t>
  </si>
  <si>
    <t>Database &amp; Storage</t>
  </si>
  <si>
    <t>8GB PostgreSQL database, 500MB file storage, automated daily backups</t>
  </si>
  <si>
    <t>Email (Resend)</t>
  </si>
  <si>
    <t>5,000 transactional emails/month</t>
  </si>
  <si>
    <t>SSL &amp; Domain</t>
  </si>
  <si>
    <t>Managed SSL certificates, custom domain support</t>
  </si>
  <si>
    <t>Support Hours</t>
  </si>
  <si>
    <t>2 hours/month minor adjustments included</t>
  </si>
  <si>
    <t>Training</t>
  </si>
  <si>
    <t>1 group onboarding session/month (up to 20 pax)</t>
  </si>
  <si>
    <t>OVERAGE RATES (BEYOND MONTHLY QUOTA)</t>
  </si>
  <si>
    <t>Additional emails (beyond 5,000/mo)</t>
  </si>
  <si>
    <t>RM 0.01/email</t>
  </si>
  <si>
    <t>Additional OTP verifications (beyond 500/mo)</t>
  </si>
  <si>
    <t>RM 0.30/OTP</t>
  </si>
  <si>
    <t>Database storage upgrade (beyond 8GB)</t>
  </si>
  <si>
    <t>RM 50/GB/mo</t>
  </si>
  <si>
    <t>Additional support hours (beyond 2 hrs/mo)</t>
  </si>
  <si>
    <t>RM 150/hour</t>
  </si>
  <si>
    <t>Additional training sessions</t>
  </si>
  <si>
    <t>RM 500/session</t>
  </si>
  <si>
    <t>OPTIONAL ADD-ONS (QUOTED SEPARATELY)</t>
  </si>
  <si>
    <t>New Feature Development</t>
  </si>
  <si>
    <t>Custom Integrations (CRM, HR, ERP)</t>
  </si>
  <si>
    <t>Quoted per scope</t>
  </si>
  <si>
    <t>INTERNAL COST ANALYSIS &amp; PROFIT MARGIN</t>
  </si>
  <si>
    <t>CONFIDENTIAL - For Your Eyes Only | All prices in MYR</t>
  </si>
  <si>
    <t>Client Pays (RM)</t>
  </si>
  <si>
    <t>Your Cost (RM)</t>
  </si>
  <si>
    <t>Margin (RM)</t>
  </si>
  <si>
    <t>Margin %</t>
  </si>
  <si>
    <t>A. SaaS PLATFORM (SOFTWARE - ALREADY BUILT)</t>
  </si>
  <si>
    <t>Admin Portal</t>
  </si>
  <si>
    <t>Agent Portal</t>
  </si>
  <si>
    <t>Public Pages</t>
  </si>
  <si>
    <t>Subtotal - Platform</t>
  </si>
  <si>
    <t>B. CLOUD INFRASTRUCTURE &amp; SERVICES (BUNDLED - YOUR REAL COST)</t>
  </si>
  <si>
    <t>Render - Cloud Hosting (3 Static Sites + CI/CD)</t>
  </si>
  <si>
    <t>Supabase - Database, Auth, Edge Functions, Storage</t>
  </si>
  <si>
    <t>Resend - Email Service (5,000 emails/mo quota)</t>
  </si>
  <si>
    <t>Domain &amp; SSL (Per Year - amortized monthly)</t>
  </si>
  <si>
    <t>Subtotal - Infra &amp; Services (monthly equivalent)</t>
  </si>
  <si>
    <t>C. SUPPORT &amp; SLA (YOUR TIME)</t>
  </si>
  <si>
    <t>SLA Support</t>
  </si>
  <si>
    <t>Bug Fixes &amp; Monitoring</t>
  </si>
  <si>
    <t>Minor Adjustments (2 hrs/mo)</t>
  </si>
  <si>
    <t>Subtotal - Support</t>
  </si>
  <si>
    <t>D. TRAINING (YOUR TIME)</t>
  </si>
  <si>
    <t>Agent Onboarding (1 session/mo)</t>
  </si>
  <si>
    <t>Subtotal - Training</t>
  </si>
  <si>
    <t>TOTAL MONTHLY REVENUE (CLIENT PAYS)</t>
  </si>
  <si>
    <t>TOTAL MONTHLY HARD COST (Supabase + Render + Resend + Domain)</t>
  </si>
  <si>
    <t>MONTHLY GROSS PROFIT (before your time)</t>
  </si>
  <si>
    <t>YOUR TIME INVESTMENT (EDITABLE)</t>
  </si>
  <si>
    <t>Estimated hours/month (support + training + monitoring)</t>
  </si>
  <si>
    <t>Your hourly rate (RM)</t>
  </si>
  <si>
    <t>Monthly time cost</t>
  </si>
  <si>
    <t>MONTHLY NET PROFIT (after infra + your time)</t>
  </si>
  <si>
    <t>ANNUAL NET PROFIT (12-month contract)</t>
  </si>
  <si>
    <t>INFRASTRUCTURE COST REFERENCE (USD → MYR @ ~4.40)</t>
  </si>
  <si>
    <t>Supabase Pro Plan</t>
  </si>
  <si>
    <t>USD 25/mo</t>
  </si>
  <si>
    <t>~RM 110/mo</t>
  </si>
  <si>
    <t>Database, Auth, Edge Functions, Storage, Realtime</t>
  </si>
  <si>
    <t>Render (3 Static Sites)</t>
  </si>
  <si>
    <t>Free - USD 12/mo</t>
  </si>
  <si>
    <t>~RM 0-50/mo</t>
  </si>
  <si>
    <t>Free tier likely sufficient; paid for custom domains</t>
  </si>
  <si>
    <t>Resend (Email Pro)</t>
  </si>
  <si>
    <t>USD 20/mo</t>
  </si>
  <si>
    <t>~RM 90/mo</t>
  </si>
  <si>
    <t>Up to 50,000 emails/mo; client quota 5,000</t>
  </si>
  <si>
    <t>Domain (.com)</t>
  </si>
  <si>
    <t>~USD 12/yr</t>
  </si>
  <si>
    <t>~RM 15/mo amort.</t>
  </si>
  <si>
    <t>Annual cost split monthly</t>
  </si>
  <si>
    <t>NOTES</t>
  </si>
  <si>
    <t xml:space="preserve">  • Software platform cost = RM 0 (already built). RM 900/mo is pure margin.</t>
  </si>
  <si>
    <t xml:space="preserve">  • Infra: client pays ~RM 621/mo bundled, your actual cost ~RM 265/mo = ~RM 356/mo margin.</t>
  </si>
  <si>
    <t xml:space="preserve">  • Domain: client pays RM 250/yr lump, your cost ~RM 15/mo (RM 180/yr). RM 70/yr margin.</t>
  </si>
  <si>
    <t xml:space="preserve">  • WhatsApp OTP removed as separate line - absorbed into platform or handled separately.</t>
  </si>
  <si>
    <t xml:space="preserve">  • All 'Your Cost' cells are editable - adjust to match actual costs.</t>
  </si>
  <si>
    <t>OPTION B: SELF-MANAGED INFRASTRUCTURE</t>
  </si>
  <si>
    <t>Client manages own cloud accounts &amp; services | Lower monthly fee, higher operational effort</t>
  </si>
  <si>
    <t>A. SOFTWARE LICENSE (PAID TO YOU)</t>
  </si>
  <si>
    <t>Subtotal - Software License</t>
  </si>
  <si>
    <t>B. SUPPORT &amp; SLA (PAID TO YOU)</t>
  </si>
  <si>
    <t>SLA Support - 99.5% uptime guarantee (application layer only)</t>
  </si>
  <si>
    <t>Bug Fixes &amp; Application Monitoring</t>
  </si>
  <si>
    <t>C. TRAINING &amp; ENABLEMENT (PAID TO YOU)</t>
  </si>
  <si>
    <t>D. CLIENT-MANAGED INFRASTRUCTURE (PAID DIRECTLY BY CLIENT)</t>
  </si>
  <si>
    <t>Supabase Pro - Database, Auth, Edge Functions, Storage</t>
  </si>
  <si>
    <t xml:space="preserve">     Sign up: supabase.com - Pro Plan USD 25/mo</t>
  </si>
  <si>
    <t>Render - Cloud Hosting (3 Static Sites, CI/CD)</t>
  </si>
  <si>
    <t xml:space="preserve">     Sign up: render.com - Free tier or Starter USD ~12/mo</t>
  </si>
  <si>
    <t>Resend - Email Service (reminders, notifications)</t>
  </si>
  <si>
    <t xml:space="preserve">     Sign up: resend.com - Pro Plan USD 20/mo</t>
  </si>
  <si>
    <t>Domain Registration &amp; DNS (.com)</t>
  </si>
  <si>
    <t xml:space="preserve">     Sign up: namecheap.com / cloudflare - ~USD 12/yr</t>
  </si>
  <si>
    <t>Subtotal - Client-Managed Infrastructure (est.)</t>
  </si>
  <si>
    <t>TOTAL MONTHLY COST TO CLIENT (You + Own Infra)</t>
  </si>
  <si>
    <t>E. CLIENT RESPONSIBILITIES (SELF-MANAGED)</t>
  </si>
  <si>
    <t xml:space="preserve">  !</t>
  </si>
  <si>
    <t>Sign up &amp; maintain accounts: Supabase, Render, Resend</t>
  </si>
  <si>
    <t>Manage billing &amp; payments for all cloud service subscriptions</t>
  </si>
  <si>
    <t>Monitor database storage and email quota usage</t>
  </si>
  <si>
    <t>Handle Supabase database backups &amp; disaster recovery</t>
  </si>
  <si>
    <t>Manage domain DNS settings, SSL certificate renewals</t>
  </si>
  <si>
    <t>Coordinate with cloud providers for any service outages</t>
  </si>
  <si>
    <t>Upgrade service plans as usage grows</t>
  </si>
  <si>
    <t>Provide service credentials/API keys to developer for setup &amp; deployments</t>
  </si>
  <si>
    <t>Infrastructure uptime NOT covered under SLA (application-level SLA only)</t>
  </si>
  <si>
    <t>OPTION A vs OPTION B COMPARISON</t>
  </si>
  <si>
    <t>Option A
(Managed SaaS)</t>
  </si>
  <si>
    <t>Option B
(Self-Managed)</t>
  </si>
  <si>
    <t>Monthly Fee (to you)</t>
  </si>
  <si>
    <t>RM 2,600</t>
  </si>
  <si>
    <t>Client's Own Infra Cost</t>
  </si>
  <si>
    <t>RM 0</t>
  </si>
  <si>
    <t>Total Monthly Cost to Client</t>
  </si>
  <si>
    <t>Annual Cost to Client</t>
  </si>
  <si>
    <t>RM 31,200</t>
  </si>
  <si>
    <t>Infrastructure Management</t>
  </si>
  <si>
    <t>Fully managed by you</t>
  </si>
  <si>
    <t>Client manages own</t>
  </si>
  <si>
    <t>Cloud Account Setup</t>
  </si>
  <si>
    <t>Not required</t>
  </si>
  <si>
    <t>Client must sign up</t>
  </si>
  <si>
    <t>Service Billing</t>
  </si>
  <si>
    <t>Single invoice from you</t>
  </si>
  <si>
    <t>Multiple vendor bills</t>
  </si>
  <si>
    <t>Database Backups</t>
  </si>
  <si>
    <t>Included &amp; automated</t>
  </si>
  <si>
    <t>Client's responsibility</t>
  </si>
  <si>
    <t>Scaling &amp; Upgrades</t>
  </si>
  <si>
    <t>You handle seamlessly</t>
  </si>
  <si>
    <t>Client coordinates</t>
  </si>
  <si>
    <t>SLA Coverage</t>
  </si>
  <si>
    <t>Full stack (app + infra)</t>
  </si>
  <si>
    <t>App layer only</t>
  </si>
  <si>
    <t>Troubleshooting</t>
  </si>
  <si>
    <t>Single point of contact</t>
  </si>
  <si>
    <t>You + cloud vendors</t>
  </si>
  <si>
    <t>Operational Effort</t>
  </si>
  <si>
    <t>Zero for client</t>
  </si>
  <si>
    <t>Moderate (est. 2-4 hrs/mo)</t>
  </si>
  <si>
    <t>RECOMMENDATION</t>
  </si>
  <si>
    <t xml:space="preserve">  Option A (Managed SaaS) is RECOMMENDED:</t>
  </si>
  <si>
    <t/>
  </si>
  <si>
    <t xml:space="preserve">  1. Single monthly invoice - no managing multiple cloud vendor bills</t>
  </si>
  <si>
    <t xml:space="preserve">  2. Full-stack SLA - infrastructure issues covered, faster resolution</t>
  </si>
  <si>
    <t xml:space="preserve">  3. Zero operational overhead - no cloud admin knowledge required</t>
  </si>
  <si>
    <t xml:space="preserve">  4. Seamless scaling - upgrades handled transparently as usage grows</t>
  </si>
  <si>
    <t xml:space="preserve">  5. Lower total effort - client saves estimated 2-4 hours/month on infra management</t>
  </si>
  <si>
    <t xml:space="preserve">  6. Price difference is minimal for significantly less hassle</t>
  </si>
  <si>
    <t xml:space="preserve">  Option B is suitable if client has in-house IT team and prefers direct cloud control.</t>
  </si>
  <si>
    <t>SUBTOTAL - PAID TO Techies (Software + Support + Training)</t>
  </si>
  <si>
    <t xml:space="preserve">     Sign up: supabase.com - Pro Plan USD 30/mo</t>
  </si>
  <si>
    <t xml:space="preserve">     Sign up: render.com - Free tier or Starter USD ~19/mo</t>
  </si>
  <si>
    <t>A. SOFTWARE LICENSE (PAID TO Techies)</t>
  </si>
  <si>
    <t>B. SUPPORT &amp; SLA (PAID TO Techies)</t>
  </si>
  <si>
    <t>C. TRAINING &amp; ENABLEMENT (PAID TO Techies)</t>
  </si>
  <si>
    <t>TOTAL MONTHLY COST TO CLIENT (Techies Bill + Own Infra)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</si>
</sst>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i/>
      <sz val="10"/>
      <color rgb="FF808080"/>
      <name val="Calibri"/>
      <family val="2"/>
    </font>
    <font>
      <b/>
      <sz val="12"/>
      <color rgb="FFFFFFFF"/>
      <name val="Calibri"/>
      <family val="2"/>
    </font>
    <font>
      <b/>
      <sz val="11"/>
      <color rgb="FF1F4E79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4"/>
      <color rgb="FF375623"/>
      <name val="Calibri"/>
      <family val="2"/>
    </font>
    <font>
      <i/>
      <sz val="10"/>
      <color rgb="FFC00000"/>
      <name val="Calibri"/>
      <family val="2"/>
    </font>
    <font>
      <b/>
      <sz val="11"/>
      <color rgb="FF375623"/>
      <name val="Calibri"/>
      <family val="2"/>
    </font>
    <font>
      <b/>
      <sz val="12"/>
      <color rgb="FF375623"/>
      <name val="Calibri"/>
      <family val="2"/>
    </font>
    <font>
      <i/>
      <sz val="10"/>
      <name val="Calibri"/>
      <family val="2"/>
    </font>
    <font>
      <sz val="10"/>
      <color rgb="FF808080"/>
      <name val="Calibri"/>
      <family val="2"/>
    </font>
    <font>
      <b/>
      <sz val="14"/>
      <color rgb="FFBF8F00"/>
      <name val="Calibri"/>
      <family val="2"/>
    </font>
    <font>
      <b/>
      <sz val="11"/>
      <color rgb="FF7F6000"/>
      <name val="Calibri"/>
      <family val="2"/>
    </font>
    <font>
      <sz val="10"/>
      <color rgb="FF1F4E79"/>
      <name val="Calibri"/>
      <family val="2"/>
    </font>
    <font>
      <b/>
      <sz val="12"/>
      <color rgb="FFFFFFFF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CE4EC"/>
        <bgColor rgb="FFFCE4EC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0" fontId="3" fillId="4" borderId="1" xfId="0" applyFont="1" applyFill="1" applyBorder="1"/>
    <xf numFmtId="3" fontId="3" fillId="4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3" fontId="3" fillId="2" borderId="1" xfId="0" applyNumberFormat="1" applyFont="1" applyFill="1" applyBorder="1" applyAlignment="1">
      <alignment horizontal="right"/>
    </xf>
    <xf numFmtId="9" fontId="5" fillId="0" borderId="1" xfId="0" applyNumberFormat="1" applyFont="1" applyBorder="1" applyAlignment="1">
      <alignment horizontal="right"/>
    </xf>
    <xf numFmtId="9" fontId="3" fillId="4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9" fillId="5" borderId="1" xfId="0" applyFont="1" applyFill="1" applyBorder="1"/>
    <xf numFmtId="0" fontId="10" fillId="5" borderId="1" xfId="0" applyFont="1" applyFill="1" applyBorder="1"/>
    <xf numFmtId="3" fontId="10" fillId="5" borderId="1" xfId="0" applyNumberFormat="1" applyFont="1" applyFill="1" applyBorder="1" applyAlignment="1">
      <alignment horizontal="right"/>
    </xf>
    <xf numFmtId="9" fontId="9" fillId="5" borderId="1" xfId="0" applyNumberFormat="1" applyFont="1" applyFill="1" applyBorder="1" applyAlignment="1">
      <alignment horizontal="right"/>
    </xf>
    <xf numFmtId="0" fontId="11" fillId="0" borderId="1" xfId="0" applyFont="1" applyBorder="1"/>
    <xf numFmtId="0" fontId="5" fillId="0" borderId="1" xfId="0" applyFont="1" applyBorder="1" applyAlignment="1">
      <alignment horizontal="right"/>
    </xf>
    <xf numFmtId="3" fontId="9" fillId="5" borderId="1" xfId="0" applyNumberFormat="1" applyFont="1" applyFill="1" applyBorder="1" applyAlignment="1">
      <alignment horizontal="right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/>
    <xf numFmtId="3" fontId="5" fillId="6" borderId="1" xfId="0" applyNumberFormat="1" applyFont="1" applyFill="1" applyBorder="1" applyAlignment="1">
      <alignment horizontal="right"/>
    </xf>
    <xf numFmtId="0" fontId="14" fillId="7" borderId="1" xfId="0" applyFont="1" applyFill="1" applyBorder="1"/>
    <xf numFmtId="3" fontId="14" fillId="7" borderId="1" xfId="0" applyNumberFormat="1" applyFont="1" applyFill="1" applyBorder="1" applyAlignment="1">
      <alignment horizontal="right"/>
    </xf>
    <xf numFmtId="0" fontId="5" fillId="8" borderId="1" xfId="0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9" fillId="5" borderId="1" xfId="0" applyFont="1" applyFill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16" fillId="2" borderId="1" xfId="0" applyFont="1" applyFill="1" applyBorder="1"/>
    <xf numFmtId="0" fontId="17" fillId="6" borderId="1" xfId="0" applyFont="1" applyFill="1" applyBorder="1"/>
    <xf numFmtId="0" fontId="15" fillId="0" borderId="0" xfId="0" applyFont="1"/>
    <xf numFmtId="0" fontId="0" fillId="0" borderId="0" xfId="0"/>
    <xf numFmtId="0" fontId="5" fillId="8" borderId="1" xfId="0" applyFont="1" applyFill="1" applyBorder="1"/>
    <xf numFmtId="0" fontId="4" fillId="3" borderId="1" xfId="0" applyFont="1" applyFill="1" applyBorder="1"/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12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D47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" max="1" width="5" customWidth="1"/>
    <col min="2" max="2" width="55" customWidth="1"/>
    <col min="3" max="3" width="20" customWidth="1"/>
    <col min="4" max="4" width="18" customWidth="1"/>
  </cols>
  <sheetData>
    <row r="1" spans="1:4" ht="35" customHeight="1" x14ac:dyDescent="0.2">
      <c r="A1" s="38" t="s">
        <v>0</v>
      </c>
      <c r="B1" s="33"/>
      <c r="C1" s="33"/>
      <c r="D1" s="33"/>
    </row>
    <row r="2" spans="1:4" x14ac:dyDescent="0.2">
      <c r="A2" s="37" t="s">
        <v>1</v>
      </c>
      <c r="B2" s="33"/>
      <c r="C2" s="33"/>
      <c r="D2" s="33"/>
    </row>
    <row r="4" spans="1:4" ht="25" customHeight="1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">
      <c r="A5" s="35" t="s">
        <v>6</v>
      </c>
      <c r="B5" s="35"/>
      <c r="C5" s="35"/>
      <c r="D5" s="35"/>
    </row>
    <row r="6" spans="1:4" x14ac:dyDescent="0.2">
      <c r="A6" s="2">
        <v>1</v>
      </c>
      <c r="B6" s="3" t="s">
        <v>7</v>
      </c>
      <c r="C6" s="4">
        <v>300</v>
      </c>
      <c r="D6" s="4">
        <f>C6*12</f>
        <v>3600</v>
      </c>
    </row>
    <row r="7" spans="1:4" x14ac:dyDescent="0.2">
      <c r="A7" s="2">
        <v>2</v>
      </c>
      <c r="B7" s="3" t="s">
        <v>8</v>
      </c>
      <c r="C7" s="4">
        <v>300</v>
      </c>
      <c r="D7" s="4">
        <f>C7*12</f>
        <v>3600</v>
      </c>
    </row>
    <row r="8" spans="1:4" x14ac:dyDescent="0.2">
      <c r="A8" s="2">
        <v>3</v>
      </c>
      <c r="B8" s="3" t="s">
        <v>9</v>
      </c>
      <c r="C8" s="4">
        <v>300</v>
      </c>
      <c r="D8" s="4">
        <f>C8*12</f>
        <v>3600</v>
      </c>
    </row>
    <row r="9" spans="1:4" ht="16" x14ac:dyDescent="0.2">
      <c r="A9" s="5"/>
      <c r="B9" s="5" t="s">
        <v>10</v>
      </c>
      <c r="C9" s="6">
        <f>SUM(C6:C8)</f>
        <v>900</v>
      </c>
      <c r="D9" s="6">
        <f>C9*12</f>
        <v>10800</v>
      </c>
    </row>
    <row r="10" spans="1:4" x14ac:dyDescent="0.2">
      <c r="A10" s="35" t="s">
        <v>11</v>
      </c>
      <c r="B10" s="35"/>
      <c r="C10" s="35"/>
      <c r="D10" s="35"/>
    </row>
    <row r="11" spans="1:4" x14ac:dyDescent="0.2">
      <c r="A11" s="2">
        <v>4</v>
      </c>
      <c r="B11" s="3" t="s">
        <v>12</v>
      </c>
      <c r="C11" s="4">
        <v>200</v>
      </c>
      <c r="D11" s="4">
        <f>C11*12</f>
        <v>2400</v>
      </c>
    </row>
    <row r="12" spans="1:4" x14ac:dyDescent="0.2">
      <c r="A12" s="3"/>
      <c r="B12" s="3" t="s">
        <v>13</v>
      </c>
      <c r="C12" s="3"/>
      <c r="D12" s="3"/>
    </row>
    <row r="13" spans="1:4" x14ac:dyDescent="0.2">
      <c r="A13" s="2">
        <v>5</v>
      </c>
      <c r="B13" s="3" t="s">
        <v>14</v>
      </c>
      <c r="C13" s="4">
        <v>250</v>
      </c>
      <c r="D13" s="4">
        <f>C13*12</f>
        <v>3000</v>
      </c>
    </row>
    <row r="14" spans="1:4" x14ac:dyDescent="0.2">
      <c r="A14" s="3"/>
      <c r="B14" s="3" t="s">
        <v>15</v>
      </c>
      <c r="C14" s="3"/>
      <c r="D14" s="3"/>
    </row>
    <row r="15" spans="1:4" x14ac:dyDescent="0.2">
      <c r="A15" s="2">
        <v>6</v>
      </c>
      <c r="B15" s="3" t="s">
        <v>16</v>
      </c>
      <c r="C15" s="4">
        <v>150</v>
      </c>
      <c r="D15" s="4">
        <f>C15*12</f>
        <v>1800</v>
      </c>
    </row>
    <row r="16" spans="1:4" x14ac:dyDescent="0.2">
      <c r="A16" s="3"/>
      <c r="B16" s="3" t="s">
        <v>17</v>
      </c>
      <c r="C16" s="3"/>
      <c r="D16" s="3"/>
    </row>
    <row r="17" spans="1:4" x14ac:dyDescent="0.2">
      <c r="A17" s="2">
        <v>7</v>
      </c>
      <c r="B17" s="3" t="s">
        <v>18</v>
      </c>
      <c r="C17" s="4">
        <v>250</v>
      </c>
      <c r="D17" s="3"/>
    </row>
    <row r="18" spans="1:4" ht="16" x14ac:dyDescent="0.2">
      <c r="A18" s="5"/>
      <c r="B18" s="5" t="s">
        <v>19</v>
      </c>
      <c r="C18" s="6">
        <f>C11+C13+C15+C17</f>
        <v>850</v>
      </c>
      <c r="D18" s="6">
        <f>(C11+C13+C15)*12+C17</f>
        <v>7450</v>
      </c>
    </row>
    <row r="19" spans="1:4" x14ac:dyDescent="0.2">
      <c r="A19" s="35" t="s">
        <v>20</v>
      </c>
      <c r="B19" s="35"/>
      <c r="C19" s="35"/>
      <c r="D19" s="35"/>
    </row>
    <row r="20" spans="1:4" x14ac:dyDescent="0.2">
      <c r="A20" s="2">
        <v>8</v>
      </c>
      <c r="B20" s="3" t="s">
        <v>21</v>
      </c>
      <c r="C20" s="4">
        <v>300</v>
      </c>
      <c r="D20" s="4">
        <f>C20*12</f>
        <v>3600</v>
      </c>
    </row>
    <row r="21" spans="1:4" x14ac:dyDescent="0.2">
      <c r="A21" s="2">
        <v>9</v>
      </c>
      <c r="B21" s="3" t="s">
        <v>22</v>
      </c>
      <c r="C21" s="4">
        <v>200</v>
      </c>
      <c r="D21" s="4">
        <f>C21*12</f>
        <v>2400</v>
      </c>
    </row>
    <row r="22" spans="1:4" x14ac:dyDescent="0.2">
      <c r="A22" s="2">
        <v>10</v>
      </c>
      <c r="B22" s="3" t="s">
        <v>23</v>
      </c>
      <c r="C22" s="4">
        <v>200</v>
      </c>
      <c r="D22" s="4">
        <f>C22*12</f>
        <v>2400</v>
      </c>
    </row>
    <row r="23" spans="1:4" ht="16" x14ac:dyDescent="0.2">
      <c r="A23" s="5"/>
      <c r="B23" s="5" t="s">
        <v>24</v>
      </c>
      <c r="C23" s="6">
        <f>SUM(C20:C22)</f>
        <v>700</v>
      </c>
      <c r="D23" s="6">
        <f>C23*12</f>
        <v>8400</v>
      </c>
    </row>
    <row r="24" spans="1:4" x14ac:dyDescent="0.2">
      <c r="A24" s="35" t="s">
        <v>25</v>
      </c>
      <c r="B24" s="35"/>
      <c r="C24" s="35"/>
      <c r="D24" s="35"/>
    </row>
    <row r="25" spans="1:4" x14ac:dyDescent="0.2">
      <c r="A25" s="2">
        <v>11</v>
      </c>
      <c r="B25" s="3" t="s">
        <v>26</v>
      </c>
      <c r="C25" s="4">
        <v>200</v>
      </c>
      <c r="D25" s="4">
        <f>C25*12</f>
        <v>2400</v>
      </c>
    </row>
    <row r="26" spans="1:4" ht="16" x14ac:dyDescent="0.2">
      <c r="A26" s="5"/>
      <c r="B26" s="5" t="s">
        <v>27</v>
      </c>
      <c r="C26" s="6">
        <f>SUM(C25:C25)</f>
        <v>200</v>
      </c>
      <c r="D26" s="6">
        <f>C26*12</f>
        <v>2400</v>
      </c>
    </row>
    <row r="28" spans="1:4" ht="30" customHeight="1" x14ac:dyDescent="0.2">
      <c r="A28" s="7"/>
      <c r="B28" s="7" t="s">
        <v>28</v>
      </c>
      <c r="C28" s="8">
        <f>C9+C18+C23+C26</f>
        <v>2650</v>
      </c>
      <c r="D28" s="8">
        <f>C28*12</f>
        <v>31800</v>
      </c>
    </row>
    <row r="30" spans="1:4" x14ac:dyDescent="0.2">
      <c r="A30" s="35" t="s">
        <v>29</v>
      </c>
      <c r="B30" s="35"/>
      <c r="C30" s="35"/>
      <c r="D30" s="35"/>
    </row>
    <row r="31" spans="1:4" x14ac:dyDescent="0.2">
      <c r="A31" s="3"/>
      <c r="B31" s="3" t="s">
        <v>30</v>
      </c>
      <c r="C31" s="40" t="s">
        <v>31</v>
      </c>
      <c r="D31" s="40"/>
    </row>
    <row r="32" spans="1:4" x14ac:dyDescent="0.2">
      <c r="A32" s="3"/>
      <c r="B32" s="3" t="s">
        <v>32</v>
      </c>
      <c r="C32" s="40" t="s">
        <v>33</v>
      </c>
      <c r="D32" s="40"/>
    </row>
    <row r="33" spans="1:4" x14ac:dyDescent="0.2">
      <c r="A33" s="3"/>
      <c r="B33" s="3" t="s">
        <v>34</v>
      </c>
      <c r="C33" s="40" t="s">
        <v>35</v>
      </c>
      <c r="D33" s="40"/>
    </row>
    <row r="34" spans="1:4" x14ac:dyDescent="0.2">
      <c r="A34" s="3"/>
      <c r="B34" s="3" t="s">
        <v>36</v>
      </c>
      <c r="C34" s="40" t="s">
        <v>37</v>
      </c>
      <c r="D34" s="40"/>
    </row>
    <row r="35" spans="1:4" x14ac:dyDescent="0.2">
      <c r="A35" s="3"/>
      <c r="B35" s="3" t="s">
        <v>38</v>
      </c>
      <c r="C35" s="40" t="s">
        <v>39</v>
      </c>
      <c r="D35" s="40"/>
    </row>
    <row r="36" spans="1:4" x14ac:dyDescent="0.2">
      <c r="A36" s="3"/>
      <c r="B36" s="3" t="s">
        <v>40</v>
      </c>
      <c r="C36" s="40" t="s">
        <v>41</v>
      </c>
      <c r="D36" s="40"/>
    </row>
    <row r="38" spans="1:4" x14ac:dyDescent="0.2">
      <c r="A38" s="35" t="s">
        <v>42</v>
      </c>
      <c r="B38" s="35"/>
      <c r="C38" s="35"/>
      <c r="D38" s="35"/>
    </row>
    <row r="39" spans="1:4" x14ac:dyDescent="0.2">
      <c r="A39" s="3"/>
      <c r="B39" s="3" t="s">
        <v>43</v>
      </c>
      <c r="C39" s="39" t="s">
        <v>44</v>
      </c>
      <c r="D39" s="40"/>
    </row>
    <row r="40" spans="1:4" x14ac:dyDescent="0.2">
      <c r="A40" s="3"/>
      <c r="B40" s="3" t="s">
        <v>45</v>
      </c>
      <c r="C40" s="39" t="s">
        <v>46</v>
      </c>
      <c r="D40" s="40"/>
    </row>
    <row r="41" spans="1:4" x14ac:dyDescent="0.2">
      <c r="A41" s="3"/>
      <c r="B41" s="3" t="s">
        <v>47</v>
      </c>
      <c r="C41" s="39" t="s">
        <v>48</v>
      </c>
      <c r="D41" s="40"/>
    </row>
    <row r="42" spans="1:4" x14ac:dyDescent="0.2">
      <c r="A42" s="3"/>
      <c r="B42" s="3" t="s">
        <v>49</v>
      </c>
      <c r="C42" s="39" t="s">
        <v>50</v>
      </c>
      <c r="D42" s="40"/>
    </row>
    <row r="43" spans="1:4" x14ac:dyDescent="0.2">
      <c r="A43" s="3"/>
      <c r="B43" s="3" t="s">
        <v>51</v>
      </c>
      <c r="C43" s="39" t="s">
        <v>52</v>
      </c>
      <c r="D43" s="40"/>
    </row>
    <row r="45" spans="1:4" x14ac:dyDescent="0.2">
      <c r="A45" s="35" t="s">
        <v>53</v>
      </c>
      <c r="B45" s="35"/>
      <c r="C45" s="35"/>
      <c r="D45" s="35"/>
    </row>
    <row r="46" spans="1:4" x14ac:dyDescent="0.2">
      <c r="A46" s="3"/>
      <c r="B46" s="3" t="s">
        <v>54</v>
      </c>
      <c r="C46" s="39" t="s">
        <v>50</v>
      </c>
      <c r="D46" s="40"/>
    </row>
    <row r="47" spans="1:4" x14ac:dyDescent="0.2">
      <c r="A47" s="3"/>
      <c r="B47" s="3" t="s">
        <v>55</v>
      </c>
      <c r="C47" s="39" t="s">
        <v>56</v>
      </c>
      <c r="D47" s="40"/>
    </row>
  </sheetData>
  <mergeCells count="22">
    <mergeCell ref="C47:D47"/>
    <mergeCell ref="C41:D41"/>
    <mergeCell ref="A30:D30"/>
    <mergeCell ref="A24:D24"/>
    <mergeCell ref="C40:D40"/>
    <mergeCell ref="C31:D31"/>
    <mergeCell ref="C34:D34"/>
    <mergeCell ref="C33:D33"/>
    <mergeCell ref="A38:D38"/>
    <mergeCell ref="C42:D42"/>
    <mergeCell ref="C35:D35"/>
    <mergeCell ref="A1:D1"/>
    <mergeCell ref="C43:D43"/>
    <mergeCell ref="A45:D45"/>
    <mergeCell ref="C46:D46"/>
    <mergeCell ref="C36:D36"/>
    <mergeCell ref="C39:D39"/>
    <mergeCell ref="C32:D32"/>
    <mergeCell ref="A2:D2"/>
    <mergeCell ref="A5:D5"/>
    <mergeCell ref="A19:D19"/>
    <mergeCell ref="A10:D10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  <pageSetUpPr fitToPage="1"/>
  </sheetPr>
  <dimension ref="A1:D43"/>
  <sheetViews>
    <sheetView topLeftCell="A18" workbookViewId="0">
      <selection activeCell="C62" sqref="C62"/>
    </sheetView>
  </sheetViews>
  <sheetFormatPr baseColWidth="10" defaultColWidth="8.83203125" defaultRowHeight="15" x14ac:dyDescent="0.2"/>
  <cols>
    <col min="1" max="1" width="5" customWidth="1"/>
    <col min="2" max="2" width="55" customWidth="1"/>
    <col min="3" max="4" width="20" customWidth="1"/>
  </cols>
  <sheetData>
    <row r="1" spans="1:4" ht="35" customHeight="1" x14ac:dyDescent="0.2">
      <c r="A1" s="36" t="s">
        <v>114</v>
      </c>
      <c r="B1" s="33"/>
      <c r="C1" s="33"/>
      <c r="D1" s="33"/>
    </row>
    <row r="2" spans="1:4" x14ac:dyDescent="0.2">
      <c r="A2" s="37" t="s">
        <v>115</v>
      </c>
      <c r="B2" s="33"/>
      <c r="C2" s="33"/>
      <c r="D2" s="33"/>
    </row>
    <row r="4" spans="1:4" ht="25" customHeight="1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">
      <c r="A5" s="35" t="s">
        <v>191</v>
      </c>
      <c r="B5" s="35"/>
      <c r="C5" s="35"/>
      <c r="D5" s="35"/>
    </row>
    <row r="6" spans="1:4" x14ac:dyDescent="0.2">
      <c r="A6" s="2">
        <v>1</v>
      </c>
      <c r="B6" s="3" t="s">
        <v>7</v>
      </c>
      <c r="C6" s="4">
        <v>300</v>
      </c>
      <c r="D6" s="4">
        <f>C6*12</f>
        <v>3600</v>
      </c>
    </row>
    <row r="7" spans="1:4" x14ac:dyDescent="0.2">
      <c r="A7" s="2">
        <v>2</v>
      </c>
      <c r="B7" s="3" t="s">
        <v>8</v>
      </c>
      <c r="C7" s="4">
        <v>300</v>
      </c>
      <c r="D7" s="4">
        <f>C7*12</f>
        <v>3600</v>
      </c>
    </row>
    <row r="8" spans="1:4" x14ac:dyDescent="0.2">
      <c r="A8" s="2">
        <v>3</v>
      </c>
      <c r="B8" s="3" t="s">
        <v>9</v>
      </c>
      <c r="C8" s="4">
        <v>300</v>
      </c>
      <c r="D8" s="4">
        <f>C8*12</f>
        <v>3600</v>
      </c>
    </row>
    <row r="9" spans="1:4" ht="16" x14ac:dyDescent="0.2">
      <c r="A9" s="5"/>
      <c r="B9" s="5" t="s">
        <v>117</v>
      </c>
      <c r="C9" s="6">
        <f>SUM(C6:C8)</f>
        <v>900</v>
      </c>
      <c r="D9" s="6">
        <f>C9*12</f>
        <v>10800</v>
      </c>
    </row>
    <row r="10" spans="1:4" x14ac:dyDescent="0.2">
      <c r="A10" s="35" t="s">
        <v>192</v>
      </c>
      <c r="B10" s="35"/>
      <c r="C10" s="35"/>
      <c r="D10" s="35"/>
    </row>
    <row r="11" spans="1:4" x14ac:dyDescent="0.2">
      <c r="A11" s="2">
        <v>4</v>
      </c>
      <c r="B11" s="3" t="s">
        <v>119</v>
      </c>
      <c r="C11" s="4">
        <v>250</v>
      </c>
      <c r="D11" s="4">
        <f>C11*12</f>
        <v>3000</v>
      </c>
    </row>
    <row r="12" spans="1:4" x14ac:dyDescent="0.2">
      <c r="A12" s="2">
        <v>5</v>
      </c>
      <c r="B12" s="3" t="s">
        <v>120</v>
      </c>
      <c r="C12" s="4">
        <v>200</v>
      </c>
      <c r="D12" s="4">
        <f>C12*12</f>
        <v>2400</v>
      </c>
    </row>
    <row r="13" spans="1:4" x14ac:dyDescent="0.2">
      <c r="A13" s="2">
        <v>6</v>
      </c>
      <c r="B13" s="3" t="s">
        <v>23</v>
      </c>
      <c r="C13" s="4">
        <v>200</v>
      </c>
      <c r="D13" s="4">
        <f>C13*12</f>
        <v>2400</v>
      </c>
    </row>
    <row r="14" spans="1:4" ht="16" x14ac:dyDescent="0.2">
      <c r="A14" s="5"/>
      <c r="B14" s="5" t="s">
        <v>24</v>
      </c>
      <c r="C14" s="6">
        <f>SUM(C11:C13)</f>
        <v>650</v>
      </c>
      <c r="D14" s="6">
        <f>C14*12</f>
        <v>7800</v>
      </c>
    </row>
    <row r="15" spans="1:4" x14ac:dyDescent="0.2">
      <c r="A15" s="35" t="s">
        <v>193</v>
      </c>
      <c r="B15" s="35"/>
      <c r="C15" s="35"/>
      <c r="D15" s="35"/>
    </row>
    <row r="16" spans="1:4" x14ac:dyDescent="0.2">
      <c r="A16" s="2">
        <v>7</v>
      </c>
      <c r="B16" s="3" t="s">
        <v>26</v>
      </c>
      <c r="C16" s="4">
        <v>200</v>
      </c>
      <c r="D16" s="4">
        <f>C16*12</f>
        <v>2400</v>
      </c>
    </row>
    <row r="17" spans="1:4" ht="16" x14ac:dyDescent="0.2">
      <c r="A17" s="5"/>
      <c r="B17" s="5" t="s">
        <v>27</v>
      </c>
      <c r="C17" s="6">
        <f>SUM(C16:C16)</f>
        <v>200</v>
      </c>
      <c r="D17" s="6">
        <f>C17*12</f>
        <v>2400</v>
      </c>
    </row>
    <row r="19" spans="1:4" ht="28" customHeight="1" x14ac:dyDescent="0.2">
      <c r="A19" s="7"/>
      <c r="B19" s="7" t="s">
        <v>188</v>
      </c>
      <c r="C19" s="8">
        <f>C9+C14+C17</f>
        <v>1750</v>
      </c>
      <c r="D19" s="8">
        <f>C19*12</f>
        <v>21000</v>
      </c>
    </row>
    <row r="21" spans="1:4" x14ac:dyDescent="0.2">
      <c r="A21" s="35" t="s">
        <v>122</v>
      </c>
      <c r="B21" s="35"/>
      <c r="C21" s="35"/>
      <c r="D21" s="35"/>
    </row>
    <row r="22" spans="1:4" x14ac:dyDescent="0.2">
      <c r="A22" s="20">
        <v>8</v>
      </c>
      <c r="B22" s="21" t="s">
        <v>123</v>
      </c>
      <c r="C22" s="22">
        <v>110</v>
      </c>
      <c r="D22" s="22">
        <f>C22*12</f>
        <v>1320</v>
      </c>
    </row>
    <row r="23" spans="1:4" x14ac:dyDescent="0.2">
      <c r="A23" s="21"/>
      <c r="B23" s="21" t="s">
        <v>124</v>
      </c>
      <c r="C23" s="21"/>
      <c r="D23" s="21"/>
    </row>
    <row r="24" spans="1:4" x14ac:dyDescent="0.2">
      <c r="A24" s="20">
        <v>9</v>
      </c>
      <c r="B24" s="21" t="s">
        <v>125</v>
      </c>
      <c r="C24" s="22">
        <v>50</v>
      </c>
      <c r="D24" s="22">
        <f>C24*12</f>
        <v>600</v>
      </c>
    </row>
    <row r="25" spans="1:4" x14ac:dyDescent="0.2">
      <c r="A25" s="21"/>
      <c r="B25" s="21" t="s">
        <v>126</v>
      </c>
      <c r="C25" s="21"/>
      <c r="D25" s="21"/>
    </row>
    <row r="26" spans="1:4" x14ac:dyDescent="0.2">
      <c r="A26" s="20">
        <v>10</v>
      </c>
      <c r="B26" s="21" t="s">
        <v>127</v>
      </c>
      <c r="C26" s="22">
        <v>90</v>
      </c>
      <c r="D26" s="22">
        <f>C26*12</f>
        <v>1080</v>
      </c>
    </row>
    <row r="27" spans="1:4" x14ac:dyDescent="0.2">
      <c r="A27" s="21"/>
      <c r="B27" s="21" t="s">
        <v>128</v>
      </c>
      <c r="C27" s="21"/>
      <c r="D27" s="21"/>
    </row>
    <row r="28" spans="1:4" x14ac:dyDescent="0.2">
      <c r="A28" s="20">
        <v>11</v>
      </c>
      <c r="B28" s="21" t="s">
        <v>129</v>
      </c>
      <c r="C28" s="22">
        <v>15</v>
      </c>
      <c r="D28" s="22">
        <f>C28*12</f>
        <v>180</v>
      </c>
    </row>
    <row r="29" spans="1:4" x14ac:dyDescent="0.2">
      <c r="A29" s="21"/>
      <c r="B29" s="21" t="s">
        <v>130</v>
      </c>
      <c r="C29" s="21"/>
      <c r="D29" s="21"/>
    </row>
    <row r="30" spans="1:4" x14ac:dyDescent="0.2">
      <c r="A30" s="23"/>
      <c r="B30" s="23" t="s">
        <v>131</v>
      </c>
      <c r="C30" s="24">
        <f>C22+C24+C26+C28</f>
        <v>265</v>
      </c>
      <c r="D30" s="24">
        <f>C30*12</f>
        <v>3180</v>
      </c>
    </row>
    <row r="32" spans="1:4" ht="30" customHeight="1" x14ac:dyDescent="0.2">
      <c r="A32" s="7"/>
      <c r="B32" s="7" t="s">
        <v>194</v>
      </c>
      <c r="C32" s="8">
        <f>C19+C30</f>
        <v>2015</v>
      </c>
      <c r="D32" s="8">
        <f>C32*12</f>
        <v>24180</v>
      </c>
    </row>
    <row r="34" spans="1:4" x14ac:dyDescent="0.2">
      <c r="A34" s="35" t="s">
        <v>133</v>
      </c>
      <c r="B34" s="35"/>
      <c r="C34" s="35"/>
      <c r="D34" s="35"/>
    </row>
    <row r="35" spans="1:4" x14ac:dyDescent="0.2">
      <c r="A35" s="25" t="s">
        <v>134</v>
      </c>
      <c r="B35" s="34" t="s">
        <v>135</v>
      </c>
      <c r="C35" s="34"/>
      <c r="D35" s="34"/>
    </row>
    <row r="36" spans="1:4" x14ac:dyDescent="0.2">
      <c r="A36" s="25" t="s">
        <v>134</v>
      </c>
      <c r="B36" s="34" t="s">
        <v>136</v>
      </c>
      <c r="C36" s="34"/>
      <c r="D36" s="34"/>
    </row>
    <row r="37" spans="1:4" x14ac:dyDescent="0.2">
      <c r="A37" s="25" t="s">
        <v>134</v>
      </c>
      <c r="B37" s="34" t="s">
        <v>137</v>
      </c>
      <c r="C37" s="34"/>
      <c r="D37" s="34"/>
    </row>
    <row r="38" spans="1:4" x14ac:dyDescent="0.2">
      <c r="A38" s="25" t="s">
        <v>134</v>
      </c>
      <c r="B38" s="34" t="s">
        <v>138</v>
      </c>
      <c r="C38" s="34"/>
      <c r="D38" s="34"/>
    </row>
    <row r="39" spans="1:4" x14ac:dyDescent="0.2">
      <c r="A39" s="25" t="s">
        <v>134</v>
      </c>
      <c r="B39" s="34" t="s">
        <v>139</v>
      </c>
      <c r="C39" s="34"/>
      <c r="D39" s="34"/>
    </row>
    <row r="40" spans="1:4" x14ac:dyDescent="0.2">
      <c r="A40" s="25" t="s">
        <v>134</v>
      </c>
      <c r="B40" s="34" t="s">
        <v>140</v>
      </c>
      <c r="C40" s="34"/>
      <c r="D40" s="34"/>
    </row>
    <row r="41" spans="1:4" x14ac:dyDescent="0.2">
      <c r="A41" s="25" t="s">
        <v>134</v>
      </c>
      <c r="B41" s="34" t="s">
        <v>141</v>
      </c>
      <c r="C41" s="34"/>
      <c r="D41" s="34"/>
    </row>
    <row r="42" spans="1:4" x14ac:dyDescent="0.2">
      <c r="A42" s="25" t="s">
        <v>134</v>
      </c>
      <c r="B42" s="34" t="s">
        <v>142</v>
      </c>
      <c r="C42" s="34"/>
      <c r="D42" s="34"/>
    </row>
    <row r="43" spans="1:4" x14ac:dyDescent="0.2">
      <c r="A43" s="25" t="s">
        <v>134</v>
      </c>
      <c r="B43" s="34" t="s">
        <v>143</v>
      </c>
      <c r="C43" s="34"/>
      <c r="D43" s="34"/>
    </row>
  </sheetData>
  <mergeCells count="16">
    <mergeCell ref="A5:D5"/>
    <mergeCell ref="B42:D42"/>
    <mergeCell ref="A10:D10"/>
    <mergeCell ref="B38:D38"/>
    <mergeCell ref="A15:D15"/>
    <mergeCell ref="B37:D37"/>
    <mergeCell ref="A34:D34"/>
    <mergeCell ref="B40:D40"/>
    <mergeCell ref="B39:D39"/>
    <mergeCell ref="A1:D1"/>
    <mergeCell ref="B36:D36"/>
    <mergeCell ref="B41:D41"/>
    <mergeCell ref="B35:D35"/>
    <mergeCell ref="A21:D21"/>
    <mergeCell ref="A2:D2"/>
    <mergeCell ref="B43:D43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AD736-62FF-E34B-BEB1-FF9082EE944C}">
  <dimension ref="A1:D71"/>
  <sheetViews>
    <sheetView workbookViewId="0">
      <selection activeCell="D14" sqref="D14"/>
    </sheetView>
  </sheetViews>
  <sheetFormatPr baseColWidth="10" defaultColWidth="8.83203125" defaultRowHeight="15" x14ac:dyDescent="0.2"/>
  <cols>
    <col min="1" max="1" width="5" customWidth="1"/>
    <col min="2" max="2" width="55" customWidth="1"/>
    <col min="3" max="4" width="20" customWidth="1"/>
  </cols>
  <sheetData>
    <row r="1" spans="1:4" ht="35" customHeight="1" x14ac:dyDescent="0.2">
      <c r="A1" s="36" t="s">
        <v>114</v>
      </c>
      <c r="B1" s="33"/>
      <c r="C1" s="33"/>
      <c r="D1" s="33"/>
    </row>
    <row r="2" spans="1:4" x14ac:dyDescent="0.2">
      <c r="A2" s="37" t="s">
        <v>115</v>
      </c>
      <c r="B2" s="33"/>
      <c r="C2" s="33"/>
      <c r="D2" s="33"/>
    </row>
    <row r="4" spans="1:4" ht="25" customHeight="1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">
      <c r="A5" s="35" t="s">
        <v>116</v>
      </c>
      <c r="B5" s="35"/>
      <c r="C5" s="35"/>
      <c r="D5" s="35"/>
    </row>
    <row r="6" spans="1:4" x14ac:dyDescent="0.2">
      <c r="A6" s="2">
        <v>1</v>
      </c>
      <c r="B6" s="3" t="s">
        <v>7</v>
      </c>
      <c r="C6" s="4">
        <v>300</v>
      </c>
      <c r="D6" s="4">
        <f>C6*12</f>
        <v>3600</v>
      </c>
    </row>
    <row r="7" spans="1:4" x14ac:dyDescent="0.2">
      <c r="A7" s="2">
        <v>2</v>
      </c>
      <c r="B7" s="3" t="s">
        <v>8</v>
      </c>
      <c r="C7" s="4">
        <v>300</v>
      </c>
      <c r="D7" s="4">
        <f>C7*12</f>
        <v>3600</v>
      </c>
    </row>
    <row r="8" spans="1:4" x14ac:dyDescent="0.2">
      <c r="A8" s="2">
        <v>3</v>
      </c>
      <c r="B8" s="3" t="s">
        <v>9</v>
      </c>
      <c r="C8" s="4">
        <v>300</v>
      </c>
      <c r="D8" s="4">
        <f>C8*12</f>
        <v>3600</v>
      </c>
    </row>
    <row r="9" spans="1:4" ht="16" x14ac:dyDescent="0.2">
      <c r="A9" s="5"/>
      <c r="B9" s="5" t="s">
        <v>117</v>
      </c>
      <c r="C9" s="6">
        <v>0</v>
      </c>
      <c r="D9" s="6">
        <f>C9*12</f>
        <v>0</v>
      </c>
    </row>
    <row r="10" spans="1:4" x14ac:dyDescent="0.2">
      <c r="A10" s="35" t="s">
        <v>118</v>
      </c>
      <c r="B10" s="35"/>
      <c r="C10" s="35"/>
      <c r="D10" s="35"/>
    </row>
    <row r="11" spans="1:4" x14ac:dyDescent="0.2">
      <c r="A11" s="2">
        <v>4</v>
      </c>
      <c r="B11" s="3" t="s">
        <v>119</v>
      </c>
      <c r="C11" s="4">
        <v>250</v>
      </c>
      <c r="D11" s="4">
        <f>C11*12</f>
        <v>3000</v>
      </c>
    </row>
    <row r="12" spans="1:4" x14ac:dyDescent="0.2">
      <c r="A12" s="2">
        <v>5</v>
      </c>
      <c r="B12" s="3" t="s">
        <v>120</v>
      </c>
      <c r="C12" s="4">
        <v>200</v>
      </c>
      <c r="D12" s="4">
        <f>C12*12</f>
        <v>2400</v>
      </c>
    </row>
    <row r="13" spans="1:4" x14ac:dyDescent="0.2">
      <c r="A13" s="2">
        <v>6</v>
      </c>
      <c r="B13" s="3" t="s">
        <v>23</v>
      </c>
      <c r="C13" s="4">
        <v>200</v>
      </c>
      <c r="D13" s="4">
        <f>C13*12</f>
        <v>2400</v>
      </c>
    </row>
    <row r="14" spans="1:4" ht="16" x14ac:dyDescent="0.2">
      <c r="A14" s="5"/>
      <c r="B14" s="5" t="s">
        <v>24</v>
      </c>
      <c r="C14" s="6">
        <f>SUM(C11:C13)</f>
        <v>650</v>
      </c>
      <c r="D14" s="6">
        <f>C14*12</f>
        <v>7800</v>
      </c>
    </row>
    <row r="15" spans="1:4" x14ac:dyDescent="0.2">
      <c r="A15" s="35" t="s">
        <v>121</v>
      </c>
      <c r="B15" s="35"/>
      <c r="C15" s="35"/>
      <c r="D15" s="35"/>
    </row>
    <row r="16" spans="1:4" x14ac:dyDescent="0.2">
      <c r="A16" s="2">
        <v>7</v>
      </c>
      <c r="B16" s="3" t="s">
        <v>26</v>
      </c>
      <c r="C16" s="4">
        <v>1000</v>
      </c>
      <c r="D16" s="4">
        <f>C16*12</f>
        <v>12000</v>
      </c>
    </row>
    <row r="17" spans="1:4" ht="16" x14ac:dyDescent="0.2">
      <c r="A17" s="5"/>
      <c r="B17" s="5" t="s">
        <v>27</v>
      </c>
      <c r="C17" s="6">
        <f>SUM(C16:C16)</f>
        <v>1000</v>
      </c>
      <c r="D17" s="6">
        <v>0</v>
      </c>
    </row>
    <row r="19" spans="1:4" ht="28" customHeight="1" x14ac:dyDescent="0.2">
      <c r="A19" s="7"/>
      <c r="B19" s="30" t="s">
        <v>188</v>
      </c>
      <c r="C19" s="8">
        <f>C9+C14</f>
        <v>650</v>
      </c>
      <c r="D19" s="8">
        <f>C19*12</f>
        <v>7800</v>
      </c>
    </row>
    <row r="21" spans="1:4" x14ac:dyDescent="0.2">
      <c r="A21" s="35" t="s">
        <v>122</v>
      </c>
      <c r="B21" s="35"/>
      <c r="C21" s="35"/>
      <c r="D21" s="35"/>
    </row>
    <row r="22" spans="1:4" x14ac:dyDescent="0.2">
      <c r="A22" s="20">
        <v>8</v>
      </c>
      <c r="B22" s="21" t="s">
        <v>123</v>
      </c>
      <c r="C22" s="22">
        <v>123</v>
      </c>
      <c r="D22" s="22">
        <f>C22*12</f>
        <v>1476</v>
      </c>
    </row>
    <row r="23" spans="1:4" x14ac:dyDescent="0.2">
      <c r="A23" s="21"/>
      <c r="B23" s="31" t="s">
        <v>189</v>
      </c>
      <c r="C23" s="21"/>
      <c r="D23" s="21"/>
    </row>
    <row r="24" spans="1:4" x14ac:dyDescent="0.2">
      <c r="A24" s="20">
        <v>9</v>
      </c>
      <c r="B24" s="21" t="s">
        <v>125</v>
      </c>
      <c r="C24" s="22">
        <v>76</v>
      </c>
      <c r="D24" s="22">
        <f>C24*12</f>
        <v>912</v>
      </c>
    </row>
    <row r="25" spans="1:4" x14ac:dyDescent="0.2">
      <c r="A25" s="21"/>
      <c r="B25" s="31" t="s">
        <v>190</v>
      </c>
      <c r="C25" s="21"/>
      <c r="D25" s="21"/>
    </row>
    <row r="26" spans="1:4" x14ac:dyDescent="0.2">
      <c r="A26" s="20">
        <v>10</v>
      </c>
      <c r="B26" s="21" t="s">
        <v>127</v>
      </c>
      <c r="C26" s="22">
        <v>90</v>
      </c>
      <c r="D26" s="22">
        <f>C26*12</f>
        <v>1080</v>
      </c>
    </row>
    <row r="27" spans="1:4" x14ac:dyDescent="0.2">
      <c r="A27" s="21"/>
      <c r="B27" s="21" t="s">
        <v>128</v>
      </c>
      <c r="C27" s="21"/>
      <c r="D27" s="21"/>
    </row>
    <row r="28" spans="1:4" x14ac:dyDescent="0.2">
      <c r="A28" s="20">
        <v>11</v>
      </c>
      <c r="B28" s="21" t="s">
        <v>129</v>
      </c>
      <c r="C28" s="22">
        <v>15</v>
      </c>
      <c r="D28" s="22">
        <f>C28*12</f>
        <v>180</v>
      </c>
    </row>
    <row r="29" spans="1:4" x14ac:dyDescent="0.2">
      <c r="A29" s="21"/>
      <c r="B29" s="21" t="s">
        <v>130</v>
      </c>
      <c r="C29" s="21"/>
      <c r="D29" s="21"/>
    </row>
    <row r="30" spans="1:4" x14ac:dyDescent="0.2">
      <c r="A30" s="23"/>
      <c r="B30" s="23" t="s">
        <v>131</v>
      </c>
      <c r="C30" s="24">
        <f>C22+C24+C26+C28</f>
        <v>304</v>
      </c>
      <c r="D30" s="24">
        <f>C30*12</f>
        <v>3648</v>
      </c>
    </row>
    <row r="32" spans="1:4" ht="30" customHeight="1" x14ac:dyDescent="0.2">
      <c r="A32" s="7"/>
      <c r="B32" s="7" t="s">
        <v>132</v>
      </c>
      <c r="C32" s="8">
        <f>C19+C30</f>
        <v>954</v>
      </c>
      <c r="D32" s="8">
        <f>C32*12</f>
        <v>11448</v>
      </c>
    </row>
    <row r="34" spans="1:4" x14ac:dyDescent="0.2">
      <c r="A34" s="35" t="s">
        <v>133</v>
      </c>
      <c r="B34" s="35"/>
      <c r="C34" s="35"/>
      <c r="D34" s="35"/>
    </row>
    <row r="35" spans="1:4" x14ac:dyDescent="0.2">
      <c r="A35" s="25" t="s">
        <v>134</v>
      </c>
      <c r="B35" s="34" t="s">
        <v>135</v>
      </c>
      <c r="C35" s="34"/>
      <c r="D35" s="34"/>
    </row>
    <row r="36" spans="1:4" x14ac:dyDescent="0.2">
      <c r="A36" s="25" t="s">
        <v>134</v>
      </c>
      <c r="B36" s="34" t="s">
        <v>136</v>
      </c>
      <c r="C36" s="34"/>
      <c r="D36" s="34"/>
    </row>
    <row r="37" spans="1:4" x14ac:dyDescent="0.2">
      <c r="A37" s="25" t="s">
        <v>134</v>
      </c>
      <c r="B37" s="34" t="s">
        <v>137</v>
      </c>
      <c r="C37" s="34"/>
      <c r="D37" s="34"/>
    </row>
    <row r="38" spans="1:4" x14ac:dyDescent="0.2">
      <c r="A38" s="25" t="s">
        <v>134</v>
      </c>
      <c r="B38" s="34" t="s">
        <v>138</v>
      </c>
      <c r="C38" s="34"/>
      <c r="D38" s="34"/>
    </row>
    <row r="39" spans="1:4" x14ac:dyDescent="0.2">
      <c r="A39" s="25" t="s">
        <v>134</v>
      </c>
      <c r="B39" s="34" t="s">
        <v>139</v>
      </c>
      <c r="C39" s="34"/>
      <c r="D39" s="34"/>
    </row>
    <row r="40" spans="1:4" x14ac:dyDescent="0.2">
      <c r="A40" s="25" t="s">
        <v>134</v>
      </c>
      <c r="B40" s="34" t="s">
        <v>140</v>
      </c>
      <c r="C40" s="34"/>
      <c r="D40" s="34"/>
    </row>
    <row r="41" spans="1:4" x14ac:dyDescent="0.2">
      <c r="A41" s="25" t="s">
        <v>134</v>
      </c>
      <c r="B41" s="34" t="s">
        <v>141</v>
      </c>
      <c r="C41" s="34"/>
      <c r="D41" s="34"/>
    </row>
    <row r="42" spans="1:4" x14ac:dyDescent="0.2">
      <c r="A42" s="25" t="s">
        <v>134</v>
      </c>
      <c r="B42" s="34" t="s">
        <v>142</v>
      </c>
      <c r="C42" s="34"/>
      <c r="D42" s="34"/>
    </row>
    <row r="43" spans="1:4" x14ac:dyDescent="0.2">
      <c r="A43" s="25" t="s">
        <v>134</v>
      </c>
      <c r="B43" s="34" t="s">
        <v>143</v>
      </c>
      <c r="C43" s="34"/>
      <c r="D43" s="34"/>
    </row>
    <row r="45" spans="1:4" x14ac:dyDescent="0.2">
      <c r="A45" s="35" t="s">
        <v>144</v>
      </c>
      <c r="B45" s="35"/>
      <c r="C45" s="35"/>
      <c r="D45" s="35"/>
    </row>
    <row r="46" spans="1:4" ht="35" customHeight="1" x14ac:dyDescent="0.2">
      <c r="A46" s="1"/>
      <c r="B46" s="1"/>
      <c r="C46" s="1" t="s">
        <v>145</v>
      </c>
      <c r="D46" s="1" t="s">
        <v>146</v>
      </c>
    </row>
    <row r="47" spans="1:4" x14ac:dyDescent="0.2">
      <c r="A47" s="3"/>
      <c r="B47" s="3" t="s">
        <v>147</v>
      </c>
      <c r="C47" s="2" t="s">
        <v>148</v>
      </c>
      <c r="D47" s="26">
        <f>C19</f>
        <v>650</v>
      </c>
    </row>
    <row r="48" spans="1:4" x14ac:dyDescent="0.2">
      <c r="A48" s="3"/>
      <c r="B48" s="3" t="s">
        <v>149</v>
      </c>
      <c r="C48" s="2" t="s">
        <v>150</v>
      </c>
      <c r="D48" s="26">
        <f>C30</f>
        <v>304</v>
      </c>
    </row>
    <row r="49" spans="1:4" x14ac:dyDescent="0.2">
      <c r="A49" s="27"/>
      <c r="B49" s="27" t="s">
        <v>151</v>
      </c>
      <c r="C49" s="28" t="s">
        <v>148</v>
      </c>
      <c r="D49" s="29">
        <f>C32</f>
        <v>954</v>
      </c>
    </row>
    <row r="50" spans="1:4" x14ac:dyDescent="0.2">
      <c r="A50" s="27"/>
      <c r="B50" s="27" t="s">
        <v>152</v>
      </c>
      <c r="C50" s="28" t="s">
        <v>153</v>
      </c>
      <c r="D50" s="29">
        <f>C32*12</f>
        <v>11448</v>
      </c>
    </row>
    <row r="51" spans="1:4" x14ac:dyDescent="0.2">
      <c r="A51" s="3"/>
      <c r="B51" s="3"/>
      <c r="C51" s="2"/>
      <c r="D51" s="2"/>
    </row>
    <row r="52" spans="1:4" x14ac:dyDescent="0.2">
      <c r="A52" s="3"/>
      <c r="B52" s="3" t="s">
        <v>154</v>
      </c>
      <c r="C52" s="2" t="s">
        <v>155</v>
      </c>
      <c r="D52" s="2" t="s">
        <v>156</v>
      </c>
    </row>
    <row r="53" spans="1:4" x14ac:dyDescent="0.2">
      <c r="A53" s="3"/>
      <c r="B53" s="3" t="s">
        <v>157</v>
      </c>
      <c r="C53" s="2" t="s">
        <v>158</v>
      </c>
      <c r="D53" s="2" t="s">
        <v>159</v>
      </c>
    </row>
    <row r="54" spans="1:4" x14ac:dyDescent="0.2">
      <c r="A54" s="3"/>
      <c r="B54" s="3" t="s">
        <v>160</v>
      </c>
      <c r="C54" s="2" t="s">
        <v>161</v>
      </c>
      <c r="D54" s="2" t="s">
        <v>162</v>
      </c>
    </row>
    <row r="55" spans="1:4" x14ac:dyDescent="0.2">
      <c r="A55" s="3"/>
      <c r="B55" s="3" t="s">
        <v>163</v>
      </c>
      <c r="C55" s="2" t="s">
        <v>164</v>
      </c>
      <c r="D55" s="2" t="s">
        <v>165</v>
      </c>
    </row>
    <row r="56" spans="1:4" x14ac:dyDescent="0.2">
      <c r="A56" s="3"/>
      <c r="B56" s="3" t="s">
        <v>166</v>
      </c>
      <c r="C56" s="2" t="s">
        <v>167</v>
      </c>
      <c r="D56" s="2" t="s">
        <v>168</v>
      </c>
    </row>
    <row r="57" spans="1:4" x14ac:dyDescent="0.2">
      <c r="A57" s="3"/>
      <c r="B57" s="3" t="s">
        <v>169</v>
      </c>
      <c r="C57" s="2" t="s">
        <v>170</v>
      </c>
      <c r="D57" s="2" t="s">
        <v>171</v>
      </c>
    </row>
    <row r="58" spans="1:4" x14ac:dyDescent="0.2">
      <c r="A58" s="3"/>
      <c r="B58" s="3" t="s">
        <v>172</v>
      </c>
      <c r="C58" s="2" t="s">
        <v>173</v>
      </c>
      <c r="D58" s="2" t="s">
        <v>174</v>
      </c>
    </row>
    <row r="59" spans="1:4" x14ac:dyDescent="0.2">
      <c r="A59" s="3"/>
      <c r="B59" s="3" t="s">
        <v>175</v>
      </c>
      <c r="C59" s="2" t="s">
        <v>176</v>
      </c>
      <c r="D59" s="2" t="s">
        <v>177</v>
      </c>
    </row>
    <row r="61" spans="1:4" x14ac:dyDescent="0.2">
      <c r="A61" s="35" t="s">
        <v>178</v>
      </c>
      <c r="B61" s="35"/>
      <c r="C61" s="35"/>
      <c r="D61" s="35"/>
    </row>
    <row r="62" spans="1:4" x14ac:dyDescent="0.2">
      <c r="A62" s="32" t="s">
        <v>179</v>
      </c>
      <c r="B62" s="33"/>
      <c r="C62" s="33"/>
      <c r="D62" s="33"/>
    </row>
    <row r="63" spans="1:4" x14ac:dyDescent="0.2">
      <c r="A63" s="32" t="s">
        <v>180</v>
      </c>
      <c r="B63" s="33"/>
      <c r="C63" s="33"/>
      <c r="D63" s="33"/>
    </row>
    <row r="64" spans="1:4" x14ac:dyDescent="0.2">
      <c r="A64" s="32" t="s">
        <v>181</v>
      </c>
      <c r="B64" s="33"/>
      <c r="C64" s="33"/>
      <c r="D64" s="33"/>
    </row>
    <row r="65" spans="1:4" x14ac:dyDescent="0.2">
      <c r="A65" s="32" t="s">
        <v>182</v>
      </c>
      <c r="B65" s="33"/>
      <c r="C65" s="33"/>
      <c r="D65" s="33"/>
    </row>
    <row r="66" spans="1:4" x14ac:dyDescent="0.2">
      <c r="A66" s="32" t="s">
        <v>183</v>
      </c>
      <c r="B66" s="33"/>
      <c r="C66" s="33"/>
      <c r="D66" s="33"/>
    </row>
    <row r="67" spans="1:4" x14ac:dyDescent="0.2">
      <c r="A67" s="32" t="s">
        <v>184</v>
      </c>
      <c r="B67" s="33"/>
      <c r="C67" s="33"/>
      <c r="D67" s="33"/>
    </row>
    <row r="68" spans="1:4" x14ac:dyDescent="0.2">
      <c r="A68" s="32" t="s">
        <v>185</v>
      </c>
      <c r="B68" s="33"/>
      <c r="C68" s="33"/>
      <c r="D68" s="33"/>
    </row>
    <row r="69" spans="1:4" x14ac:dyDescent="0.2">
      <c r="A69" s="32" t="s">
        <v>186</v>
      </c>
      <c r="B69" s="33"/>
      <c r="C69" s="33"/>
      <c r="D69" s="33"/>
    </row>
    <row r="70" spans="1:4" x14ac:dyDescent="0.2">
      <c r="A70" s="32" t="s">
        <v>180</v>
      </c>
      <c r="B70" s="33"/>
      <c r="C70" s="33"/>
      <c r="D70" s="33"/>
    </row>
    <row r="71" spans="1:4" x14ac:dyDescent="0.2">
      <c r="A71" s="32" t="s">
        <v>187</v>
      </c>
      <c r="B71" s="33"/>
      <c r="C71" s="33"/>
      <c r="D71" s="33"/>
    </row>
  </sheetData>
  <mergeCells count="28">
    <mergeCell ref="A21:D21"/>
    <mergeCell ref="A1:D1"/>
    <mergeCell ref="A2:D2"/>
    <mergeCell ref="A5:D5"/>
    <mergeCell ref="A10:D10"/>
    <mergeCell ref="A15:D15"/>
    <mergeCell ref="A61:D61"/>
    <mergeCell ref="A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A45:D45"/>
    <mergeCell ref="A68:D68"/>
    <mergeCell ref="A69:D69"/>
    <mergeCell ref="A70:D70"/>
    <mergeCell ref="A71:D71"/>
    <mergeCell ref="A62:D62"/>
    <mergeCell ref="A63:D63"/>
    <mergeCell ref="A64:D64"/>
    <mergeCell ref="A65:D65"/>
    <mergeCell ref="A66:D66"/>
    <mergeCell ref="A67:D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  <pageSetUpPr fitToPage="1"/>
  </sheetPr>
  <dimension ref="A1:F47"/>
  <sheetViews>
    <sheetView topLeftCell="A3" workbookViewId="0">
      <selection activeCell="E17" sqref="E17"/>
    </sheetView>
  </sheetViews>
  <sheetFormatPr baseColWidth="10" defaultColWidth="8.83203125" defaultRowHeight="15" x14ac:dyDescent="0.2"/>
  <cols>
    <col min="1" max="1" width="5" customWidth="1"/>
    <col min="2" max="2" width="50" customWidth="1"/>
    <col min="3" max="5" width="18" customWidth="1"/>
    <col min="6" max="6" width="14" customWidth="1"/>
  </cols>
  <sheetData>
    <row r="1" spans="1:6" ht="35" customHeight="1" x14ac:dyDescent="0.2">
      <c r="A1" s="42" t="s">
        <v>57</v>
      </c>
      <c r="B1" s="33"/>
      <c r="C1" s="33"/>
      <c r="D1" s="33"/>
      <c r="E1" s="33"/>
      <c r="F1" s="33"/>
    </row>
    <row r="2" spans="1:6" x14ac:dyDescent="0.2">
      <c r="A2" s="43" t="s">
        <v>58</v>
      </c>
      <c r="B2" s="33"/>
      <c r="C2" s="33"/>
      <c r="D2" s="33"/>
      <c r="E2" s="33"/>
      <c r="F2" s="33"/>
    </row>
    <row r="4" spans="1:6" ht="30" customHeight="1" x14ac:dyDescent="0.2">
      <c r="A4" s="1" t="s">
        <v>2</v>
      </c>
      <c r="B4" s="1" t="s">
        <v>3</v>
      </c>
      <c r="C4" s="1" t="s">
        <v>59</v>
      </c>
      <c r="D4" s="1" t="s">
        <v>60</v>
      </c>
      <c r="E4" s="1" t="s">
        <v>61</v>
      </c>
      <c r="F4" s="1" t="s">
        <v>62</v>
      </c>
    </row>
    <row r="5" spans="1:6" x14ac:dyDescent="0.2">
      <c r="A5" s="35" t="s">
        <v>63</v>
      </c>
      <c r="B5" s="35"/>
      <c r="C5" s="35"/>
      <c r="D5" s="35"/>
      <c r="E5" s="35"/>
      <c r="F5" s="35"/>
    </row>
    <row r="6" spans="1:6" x14ac:dyDescent="0.2">
      <c r="A6" s="2">
        <v>1</v>
      </c>
      <c r="B6" s="3" t="s">
        <v>64</v>
      </c>
      <c r="C6" s="4">
        <v>300</v>
      </c>
      <c r="D6" s="4">
        <v>0</v>
      </c>
      <c r="E6" s="4">
        <f>C6-D6</f>
        <v>300</v>
      </c>
      <c r="F6" s="9">
        <f>IF(C6=0,0,E6/C6)</f>
        <v>1</v>
      </c>
    </row>
    <row r="7" spans="1:6" x14ac:dyDescent="0.2">
      <c r="A7" s="2">
        <v>2</v>
      </c>
      <c r="B7" s="3" t="s">
        <v>65</v>
      </c>
      <c r="C7" s="4">
        <v>300</v>
      </c>
      <c r="D7" s="4">
        <v>0</v>
      </c>
      <c r="E7" s="4">
        <f>C7-D7</f>
        <v>300</v>
      </c>
      <c r="F7" s="9">
        <f>IF(C7=0,0,E7/C7)</f>
        <v>1</v>
      </c>
    </row>
    <row r="8" spans="1:6" x14ac:dyDescent="0.2">
      <c r="A8" s="2">
        <v>3</v>
      </c>
      <c r="B8" s="3" t="s">
        <v>66</v>
      </c>
      <c r="C8" s="4">
        <v>300</v>
      </c>
      <c r="D8" s="4">
        <v>0</v>
      </c>
      <c r="E8" s="4">
        <f>C8-D8</f>
        <v>300</v>
      </c>
      <c r="F8" s="9">
        <f>IF(C8=0,0,E8/C8)</f>
        <v>1</v>
      </c>
    </row>
    <row r="9" spans="1:6" ht="16" x14ac:dyDescent="0.2">
      <c r="A9" s="5"/>
      <c r="B9" s="5" t="s">
        <v>67</v>
      </c>
      <c r="C9" s="6">
        <f>SUM(C6:C8)</f>
        <v>900</v>
      </c>
      <c r="D9" s="6">
        <f>SUM(D6:D8)</f>
        <v>0</v>
      </c>
      <c r="E9" s="6">
        <f>C9-D9</f>
        <v>900</v>
      </c>
      <c r="F9" s="10">
        <f>IF(C9=0,0,E9/C9)</f>
        <v>1</v>
      </c>
    </row>
    <row r="10" spans="1:6" x14ac:dyDescent="0.2">
      <c r="A10" s="35" t="s">
        <v>68</v>
      </c>
      <c r="B10" s="35"/>
      <c r="C10" s="35"/>
      <c r="D10" s="35"/>
      <c r="E10" s="35"/>
      <c r="F10" s="35"/>
    </row>
    <row r="11" spans="1:6" x14ac:dyDescent="0.2">
      <c r="A11" s="2">
        <v>4</v>
      </c>
      <c r="B11" s="3" t="s">
        <v>69</v>
      </c>
      <c r="C11" s="4">
        <v>200</v>
      </c>
      <c r="D11" s="4">
        <v>50</v>
      </c>
      <c r="E11" s="4">
        <f>C11-D11</f>
        <v>150</v>
      </c>
      <c r="F11" s="9">
        <f>IF(C11=0,0,E11/C11)</f>
        <v>0.75</v>
      </c>
    </row>
    <row r="12" spans="1:6" x14ac:dyDescent="0.2">
      <c r="A12" s="2">
        <v>5</v>
      </c>
      <c r="B12" s="3" t="s">
        <v>70</v>
      </c>
      <c r="C12" s="4">
        <v>250</v>
      </c>
      <c r="D12" s="4">
        <v>110</v>
      </c>
      <c r="E12" s="4">
        <f>C12-D12</f>
        <v>140</v>
      </c>
      <c r="F12" s="9">
        <f>IF(C12=0,0,E12/C12)</f>
        <v>0.56000000000000005</v>
      </c>
    </row>
    <row r="13" spans="1:6" x14ac:dyDescent="0.2">
      <c r="A13" s="2">
        <v>6</v>
      </c>
      <c r="B13" s="3" t="s">
        <v>71</v>
      </c>
      <c r="C13" s="4">
        <v>150</v>
      </c>
      <c r="D13" s="4">
        <v>90</v>
      </c>
      <c r="E13" s="4">
        <f>C13-D13</f>
        <v>60</v>
      </c>
      <c r="F13" s="9">
        <f>IF(C13=0,0,E13/C13)</f>
        <v>0.4</v>
      </c>
    </row>
    <row r="14" spans="1:6" x14ac:dyDescent="0.2">
      <c r="A14" s="2">
        <v>7</v>
      </c>
      <c r="B14" s="3" t="s">
        <v>72</v>
      </c>
      <c r="C14" s="4">
        <v>21</v>
      </c>
      <c r="D14" s="4">
        <v>15</v>
      </c>
      <c r="E14" s="4">
        <f>C14-D14</f>
        <v>6</v>
      </c>
      <c r="F14" s="9">
        <f>IF(C14=0,0,E14/C14)</f>
        <v>0.2857142857142857</v>
      </c>
    </row>
    <row r="15" spans="1:6" ht="16" x14ac:dyDescent="0.2">
      <c r="A15" s="5"/>
      <c r="B15" s="5" t="s">
        <v>73</v>
      </c>
      <c r="C15" s="6">
        <f>SUM(C11:C14)</f>
        <v>621</v>
      </c>
      <c r="D15" s="6">
        <f>SUM(D11:D14)</f>
        <v>265</v>
      </c>
      <c r="E15" s="6">
        <f>C15-D15</f>
        <v>356</v>
      </c>
      <c r="F15" s="10">
        <f>IF(C15=0,0,E15/C15)</f>
        <v>0.57326892109500804</v>
      </c>
    </row>
    <row r="16" spans="1:6" x14ac:dyDescent="0.2">
      <c r="A16" s="35" t="s">
        <v>74</v>
      </c>
      <c r="B16" s="35"/>
      <c r="C16" s="35"/>
      <c r="D16" s="35"/>
      <c r="E16" s="35"/>
      <c r="F16" s="35"/>
    </row>
    <row r="17" spans="1:6" x14ac:dyDescent="0.2">
      <c r="A17" s="2">
        <v>8</v>
      </c>
      <c r="B17" s="3" t="s">
        <v>75</v>
      </c>
      <c r="C17" s="4">
        <v>300</v>
      </c>
      <c r="D17" s="4">
        <v>0</v>
      </c>
      <c r="E17" s="4">
        <f>C17-D17</f>
        <v>300</v>
      </c>
      <c r="F17" s="9">
        <f>IF(C17=0,0,E17/C17)</f>
        <v>1</v>
      </c>
    </row>
    <row r="18" spans="1:6" x14ac:dyDescent="0.2">
      <c r="A18" s="2">
        <v>9</v>
      </c>
      <c r="B18" s="3" t="s">
        <v>76</v>
      </c>
      <c r="C18" s="4">
        <v>200</v>
      </c>
      <c r="D18" s="4">
        <v>0</v>
      </c>
      <c r="E18" s="4">
        <f>C18-D18</f>
        <v>200</v>
      </c>
      <c r="F18" s="9">
        <f>IF(C18=0,0,E18/C18)</f>
        <v>1</v>
      </c>
    </row>
    <row r="19" spans="1:6" x14ac:dyDescent="0.2">
      <c r="A19" s="2">
        <v>10</v>
      </c>
      <c r="B19" s="3" t="s">
        <v>77</v>
      </c>
      <c r="C19" s="4">
        <v>200</v>
      </c>
      <c r="D19" s="4">
        <v>0</v>
      </c>
      <c r="E19" s="4">
        <f>C19-D19</f>
        <v>200</v>
      </c>
      <c r="F19" s="9">
        <f>IF(C19=0,0,E19/C19)</f>
        <v>1</v>
      </c>
    </row>
    <row r="20" spans="1:6" ht="16" x14ac:dyDescent="0.2">
      <c r="A20" s="5"/>
      <c r="B20" s="5" t="s">
        <v>78</v>
      </c>
      <c r="C20" s="6">
        <f>SUM(C17:C19)</f>
        <v>700</v>
      </c>
      <c r="D20" s="6">
        <f>SUM(D17:D19)</f>
        <v>0</v>
      </c>
      <c r="E20" s="6">
        <f>C20-D20</f>
        <v>700</v>
      </c>
      <c r="F20" s="10">
        <f>IF(C20=0,0,E20/C20)</f>
        <v>1</v>
      </c>
    </row>
    <row r="21" spans="1:6" x14ac:dyDescent="0.2">
      <c r="A21" s="35" t="s">
        <v>79</v>
      </c>
      <c r="B21" s="35"/>
      <c r="C21" s="35"/>
      <c r="D21" s="35"/>
      <c r="E21" s="35"/>
      <c r="F21" s="35"/>
    </row>
    <row r="22" spans="1:6" x14ac:dyDescent="0.2">
      <c r="A22" s="2">
        <v>11</v>
      </c>
      <c r="B22" s="3" t="s">
        <v>80</v>
      </c>
      <c r="C22" s="4">
        <v>200</v>
      </c>
      <c r="D22" s="4">
        <v>0</v>
      </c>
      <c r="E22" s="4">
        <f>C22-D22</f>
        <v>200</v>
      </c>
      <c r="F22" s="9">
        <f>IF(C22=0,0,E22/C22)</f>
        <v>1</v>
      </c>
    </row>
    <row r="23" spans="1:6" ht="16" x14ac:dyDescent="0.2">
      <c r="A23" s="5"/>
      <c r="B23" s="5" t="s">
        <v>81</v>
      </c>
      <c r="C23" s="6">
        <f>SUM(C22:C22)</f>
        <v>200</v>
      </c>
      <c r="D23" s="6">
        <f>SUM(D22:D22)</f>
        <v>0</v>
      </c>
      <c r="E23" s="6">
        <f>C23-D23</f>
        <v>200</v>
      </c>
      <c r="F23" s="10">
        <f>IF(C23=0,0,E23/C23)</f>
        <v>1</v>
      </c>
    </row>
    <row r="25" spans="1:6" ht="28" customHeight="1" x14ac:dyDescent="0.2">
      <c r="A25" s="7"/>
      <c r="B25" s="7" t="s">
        <v>82</v>
      </c>
      <c r="C25" s="8">
        <f>C9+C15+C20+C23</f>
        <v>2421</v>
      </c>
      <c r="D25" s="11"/>
      <c r="E25" s="11"/>
      <c r="F25" s="11"/>
    </row>
    <row r="26" spans="1:6" ht="16" x14ac:dyDescent="0.2">
      <c r="A26" s="5"/>
      <c r="B26" s="5" t="s">
        <v>83</v>
      </c>
      <c r="C26" s="12"/>
      <c r="D26" s="6">
        <f>D15</f>
        <v>265</v>
      </c>
      <c r="E26" s="12"/>
      <c r="F26" s="12"/>
    </row>
    <row r="27" spans="1:6" ht="28" customHeight="1" x14ac:dyDescent="0.2">
      <c r="A27" s="13"/>
      <c r="B27" s="14" t="s">
        <v>84</v>
      </c>
      <c r="C27" s="13"/>
      <c r="D27" s="13"/>
      <c r="E27" s="15">
        <f>C25-D26</f>
        <v>2156</v>
      </c>
      <c r="F27" s="16">
        <f>IF(C25=0,0,E27/C25)</f>
        <v>0.89054109871953735</v>
      </c>
    </row>
    <row r="29" spans="1:6" x14ac:dyDescent="0.2">
      <c r="A29" s="35" t="s">
        <v>85</v>
      </c>
      <c r="B29" s="35"/>
      <c r="C29" s="35"/>
      <c r="D29" s="35"/>
      <c r="E29" s="35"/>
      <c r="F29" s="35"/>
    </row>
    <row r="30" spans="1:6" x14ac:dyDescent="0.2">
      <c r="A30" s="3"/>
      <c r="B30" s="17" t="s">
        <v>86</v>
      </c>
      <c r="C30" s="3"/>
      <c r="D30" s="18">
        <v>6</v>
      </c>
      <c r="E30" s="3"/>
      <c r="F30" s="3"/>
    </row>
    <row r="31" spans="1:6" x14ac:dyDescent="0.2">
      <c r="A31" s="3"/>
      <c r="B31" s="17" t="s">
        <v>87</v>
      </c>
      <c r="C31" s="3"/>
      <c r="D31" s="4">
        <v>100</v>
      </c>
      <c r="E31" s="3"/>
      <c r="F31" s="3"/>
    </row>
    <row r="32" spans="1:6" x14ac:dyDescent="0.2">
      <c r="A32" s="3"/>
      <c r="B32" s="3" t="s">
        <v>88</v>
      </c>
      <c r="C32" s="3"/>
      <c r="D32" s="4">
        <f>D30*D31</f>
        <v>600</v>
      </c>
      <c r="E32" s="3"/>
      <c r="F32" s="3"/>
    </row>
    <row r="33" spans="1:6" ht="28" customHeight="1" x14ac:dyDescent="0.2">
      <c r="A33" s="13"/>
      <c r="B33" s="13" t="s">
        <v>89</v>
      </c>
      <c r="C33" s="13"/>
      <c r="D33" s="13"/>
      <c r="E33" s="19">
        <f>E27-D32</f>
        <v>1556</v>
      </c>
      <c r="F33" s="16">
        <f>IF(C25=0,0,E33/C25)</f>
        <v>0.64270962412226351</v>
      </c>
    </row>
    <row r="34" spans="1:6" ht="16" x14ac:dyDescent="0.2">
      <c r="A34" s="13"/>
      <c r="B34" s="14" t="s">
        <v>90</v>
      </c>
      <c r="C34" s="13"/>
      <c r="D34" s="13"/>
      <c r="E34" s="15">
        <f>E33*12</f>
        <v>18672</v>
      </c>
      <c r="F34" s="13"/>
    </row>
    <row r="36" spans="1:6" x14ac:dyDescent="0.2">
      <c r="A36" s="35" t="s">
        <v>91</v>
      </c>
      <c r="B36" s="35"/>
      <c r="C36" s="35"/>
      <c r="D36" s="35"/>
      <c r="E36" s="35"/>
      <c r="F36" s="35"/>
    </row>
    <row r="37" spans="1:6" x14ac:dyDescent="0.2">
      <c r="A37" s="3"/>
      <c r="B37" s="3" t="s">
        <v>92</v>
      </c>
      <c r="C37" s="3" t="s">
        <v>93</v>
      </c>
      <c r="D37" s="3" t="s">
        <v>94</v>
      </c>
      <c r="E37" s="40" t="s">
        <v>95</v>
      </c>
      <c r="F37" s="40"/>
    </row>
    <row r="38" spans="1:6" x14ac:dyDescent="0.2">
      <c r="A38" s="3"/>
      <c r="B38" s="3" t="s">
        <v>96</v>
      </c>
      <c r="C38" s="3" t="s">
        <v>97</v>
      </c>
      <c r="D38" s="3" t="s">
        <v>98</v>
      </c>
      <c r="E38" s="40" t="s">
        <v>99</v>
      </c>
      <c r="F38" s="40"/>
    </row>
    <row r="39" spans="1:6" x14ac:dyDescent="0.2">
      <c r="A39" s="3"/>
      <c r="B39" s="3" t="s">
        <v>100</v>
      </c>
      <c r="C39" s="3" t="s">
        <v>101</v>
      </c>
      <c r="D39" s="3" t="s">
        <v>102</v>
      </c>
      <c r="E39" s="40" t="s">
        <v>103</v>
      </c>
      <c r="F39" s="40"/>
    </row>
    <row r="40" spans="1:6" x14ac:dyDescent="0.2">
      <c r="A40" s="3"/>
      <c r="B40" s="3" t="s">
        <v>104</v>
      </c>
      <c r="C40" s="3" t="s">
        <v>105</v>
      </c>
      <c r="D40" s="3" t="s">
        <v>106</v>
      </c>
      <c r="E40" s="40" t="s">
        <v>107</v>
      </c>
      <c r="F40" s="40"/>
    </row>
    <row r="42" spans="1:6" x14ac:dyDescent="0.2">
      <c r="A42" s="35" t="s">
        <v>108</v>
      </c>
      <c r="B42" s="35"/>
      <c r="C42" s="35"/>
      <c r="D42" s="35"/>
      <c r="E42" s="35"/>
      <c r="F42" s="35"/>
    </row>
    <row r="43" spans="1:6" x14ac:dyDescent="0.2">
      <c r="A43" s="41" t="s">
        <v>109</v>
      </c>
      <c r="B43" s="33"/>
      <c r="C43" s="33"/>
      <c r="D43" s="33"/>
      <c r="E43" s="33"/>
      <c r="F43" s="33"/>
    </row>
    <row r="44" spans="1:6" x14ac:dyDescent="0.2">
      <c r="A44" s="41" t="s">
        <v>110</v>
      </c>
      <c r="B44" s="33"/>
      <c r="C44" s="33"/>
      <c r="D44" s="33"/>
      <c r="E44" s="33"/>
      <c r="F44" s="33"/>
    </row>
    <row r="45" spans="1:6" x14ac:dyDescent="0.2">
      <c r="A45" s="41" t="s">
        <v>111</v>
      </c>
      <c r="B45" s="33"/>
      <c r="C45" s="33"/>
      <c r="D45" s="33"/>
      <c r="E45" s="33"/>
      <c r="F45" s="33"/>
    </row>
    <row r="46" spans="1:6" x14ac:dyDescent="0.2">
      <c r="A46" s="41" t="s">
        <v>112</v>
      </c>
      <c r="B46" s="33"/>
      <c r="C46" s="33"/>
      <c r="D46" s="33"/>
      <c r="E46" s="33"/>
      <c r="F46" s="33"/>
    </row>
    <row r="47" spans="1:6" x14ac:dyDescent="0.2">
      <c r="A47" s="41" t="s">
        <v>113</v>
      </c>
      <c r="B47" s="33"/>
      <c r="C47" s="33"/>
      <c r="D47" s="33"/>
      <c r="E47" s="33"/>
      <c r="F47" s="33"/>
    </row>
  </sheetData>
  <mergeCells count="18">
    <mergeCell ref="E38:F38"/>
    <mergeCell ref="A42:F42"/>
    <mergeCell ref="A46:F46"/>
    <mergeCell ref="A36:F36"/>
    <mergeCell ref="A47:F47"/>
    <mergeCell ref="A44:F44"/>
    <mergeCell ref="A1:F1"/>
    <mergeCell ref="A5:F5"/>
    <mergeCell ref="A45:F45"/>
    <mergeCell ref="E37:F37"/>
    <mergeCell ref="E40:F40"/>
    <mergeCell ref="A21:F21"/>
    <mergeCell ref="E39:F39"/>
    <mergeCell ref="A29:F29"/>
    <mergeCell ref="A43:F43"/>
    <mergeCell ref="A2:F2"/>
    <mergeCell ref="A16:F16"/>
    <mergeCell ref="A10:F10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Option A - Managed SaaS</vt:lpstr>
      <vt:lpstr>Option B - Self-Managed Infra</vt:lpstr>
      <vt:lpstr>Sheet1</vt:lpstr>
      <vt:lpstr>Internal Cost &amp; Margin</vt:lpstr>
      <vt:lpstr>'Internal Cost &amp; Margin'!Print_Area</vt:lpstr>
      <vt:lpstr>'Option A - Managed SaaS'!Print_Area</vt:lpstr>
      <vt:lpstr>'Option B - Self-Managed Infra'!Print_Area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lee</cp:lastModifiedBy>
  <dcterms:created xsi:type="dcterms:W3CDTF">2026-04-06T00:20:07Z</dcterms:created>
  <dcterms:modified xsi:type="dcterms:W3CDTF">2026-04-06T00:43:28Z</dcterms:modified>
</cp:coreProperties>
</file>